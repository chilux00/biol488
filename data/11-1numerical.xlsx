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in\OneDrive\Desktop\ching\biol 488\biol 488\data\"/>
    </mc:Choice>
  </mc:AlternateContent>
  <xr:revisionPtr revIDLastSave="0" documentId="13_ncr:1_{F4A4E3C8-B2CA-4367-9C08-983B54C0ADD7}" xr6:coauthVersionLast="47" xr6:coauthVersionMax="47" xr10:uidLastSave="{00000000-0000-0000-0000-000000000000}"/>
  <bookViews>
    <workbookView xWindow="-110" yWindow="-110" windowWidth="19420" windowHeight="11020" xr2:uid="{93C4CD94-A749-4926-962B-5584C91F5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B14" i="1" l="1"/>
  <c r="C14" i="1" s="1"/>
  <c r="F11" i="1"/>
  <c r="B17" i="1"/>
  <c r="C17" i="1" s="1"/>
  <c r="B9" i="1"/>
  <c r="C9" i="1" s="1"/>
  <c r="B12" i="1"/>
  <c r="C12" i="1" s="1"/>
  <c r="B6" i="1"/>
  <c r="C6" i="1" s="1"/>
  <c r="B8" i="1"/>
  <c r="C8" i="1" s="1"/>
  <c r="B7" i="1"/>
  <c r="C7" i="1" s="1"/>
  <c r="B5" i="1"/>
  <c r="C5" i="1" s="1"/>
  <c r="B11" i="1"/>
  <c r="C11" i="1" s="1"/>
  <c r="B4" i="1"/>
  <c r="C4" i="1" s="1"/>
  <c r="B10" i="1"/>
  <c r="C10" i="1" s="1"/>
  <c r="B3" i="1"/>
  <c r="C3" i="1" s="1"/>
  <c r="B2" i="1"/>
  <c r="B16" i="1"/>
  <c r="C16" i="1" s="1"/>
  <c r="B15" i="1"/>
  <c r="C15" i="1" s="1"/>
  <c r="B13" i="1"/>
  <c r="C13" i="1" s="1"/>
</calcChain>
</file>

<file path=xl/sharedStrings.xml><?xml version="1.0" encoding="utf-8"?>
<sst xmlns="http://schemas.openxmlformats.org/spreadsheetml/2006/main" count="19" uniqueCount="18">
  <si>
    <t>V</t>
  </si>
  <si>
    <t>Va</t>
  </si>
  <si>
    <t>a</t>
  </si>
  <si>
    <t>k</t>
  </si>
  <si>
    <t>r</t>
  </si>
  <si>
    <t>s</t>
  </si>
  <si>
    <t>Tt</t>
  </si>
  <si>
    <t>Tc</t>
  </si>
  <si>
    <t>Tm</t>
  </si>
  <si>
    <t>Th</t>
  </si>
  <si>
    <t>you can play with the parameters in yellow</t>
  </si>
  <si>
    <t>b</t>
  </si>
  <si>
    <t>NA</t>
  </si>
  <si>
    <t>&lt;- do not edit; this is calculated from microscopic parameters above</t>
  </si>
  <si>
    <t>Prop. prey eaten</t>
  </si>
  <si>
    <t>1/Th</t>
  </si>
  <si>
    <t>&lt;- do not edit; this is calculated from Th</t>
  </si>
  <si>
    <t>&lt;-I added this. Think through what it does, based on the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</si>
</sst>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prey</a:t>
            </a:r>
            <a:r>
              <a:rPr lang="en-US" baseline="0"/>
              <a:t> captured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100</c:v>
                </c:pt>
              </c:numCache>
            </c:numRef>
          </c:xVal>
          <c:yVal>
            <c:numRef>
              <c:f>Sheet1!$B$2:$B$26</c:f>
              <c:numCache>
                <c:formatCode>0.0</c:formatCode>
                <c:ptCount val="25"/>
                <c:pt idx="0">
                  <c:v>0</c:v>
                </c:pt>
                <c:pt idx="1">
                  <c:v>0.1171875</c:v>
                </c:pt>
                <c:pt idx="2">
                  <c:v>0.22900763358778625</c:v>
                </c:pt>
                <c:pt idx="3">
                  <c:v>0.33582089552238803</c:v>
                </c:pt>
                <c:pt idx="4">
                  <c:v>0.43795620437956201</c:v>
                </c:pt>
                <c:pt idx="5">
                  <c:v>0.5357142857142857</c:v>
                </c:pt>
                <c:pt idx="6">
                  <c:v>0.62937062937062926</c:v>
                </c:pt>
                <c:pt idx="7">
                  <c:v>0.71917808219178081</c:v>
                </c:pt>
                <c:pt idx="8">
                  <c:v>0.80536912751677858</c:v>
                </c:pt>
                <c:pt idx="9">
                  <c:v>0.88815789473684215</c:v>
                </c:pt>
                <c:pt idx="10">
                  <c:v>0.96774193548387089</c:v>
                </c:pt>
                <c:pt idx="11">
                  <c:v>1.6216216216216215</c:v>
                </c:pt>
                <c:pt idx="12">
                  <c:v>2.0930232558139532</c:v>
                </c:pt>
                <c:pt idx="13">
                  <c:v>2.4489795918367347</c:v>
                </c:pt>
                <c:pt idx="14">
                  <c:v>2.7272727272727271</c:v>
                </c:pt>
                <c:pt idx="15">
                  <c:v>3.5294117647058822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32-49EC-9BEB-7CE7D2A7D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437743"/>
        <c:axId val="1305441583"/>
      </c:scatterChart>
      <c:valAx>
        <c:axId val="130543774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Prey density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41583"/>
        <c:crosses val="autoZero"/>
        <c:crossBetween val="midCat"/>
      </c:valAx>
      <c:valAx>
        <c:axId val="130544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p</a:t>
                </a:r>
                <a:r>
                  <a:rPr lang="en-US"/>
                  <a:t>rey captured (Va)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3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prey</a:t>
            </a:r>
            <a:r>
              <a:rPr lang="en-US" baseline="0"/>
              <a:t> captured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100</c:v>
                </c:pt>
              </c:numCache>
            </c:numRef>
          </c:xVal>
          <c:yVal>
            <c:numRef>
              <c:f>Sheet1!$C$2:$C$26</c:f>
              <c:numCache>
                <c:formatCode>0.00</c:formatCode>
                <c:ptCount val="25"/>
                <c:pt idx="0">
                  <c:v>0</c:v>
                </c:pt>
                <c:pt idx="1">
                  <c:v>0.1171875</c:v>
                </c:pt>
                <c:pt idx="2">
                  <c:v>0.11450381679389313</c:v>
                </c:pt>
                <c:pt idx="3">
                  <c:v>0.11194029850746268</c:v>
                </c:pt>
                <c:pt idx="4">
                  <c:v>0.1094890510948905</c:v>
                </c:pt>
                <c:pt idx="5">
                  <c:v>0.10714285714285714</c:v>
                </c:pt>
                <c:pt idx="6">
                  <c:v>0.10489510489510488</c:v>
                </c:pt>
                <c:pt idx="7">
                  <c:v>0.10273972602739725</c:v>
                </c:pt>
                <c:pt idx="8">
                  <c:v>0.10067114093959732</c:v>
                </c:pt>
                <c:pt idx="9">
                  <c:v>9.8684210526315791E-2</c:v>
                </c:pt>
                <c:pt idx="10">
                  <c:v>9.6774193548387094E-2</c:v>
                </c:pt>
                <c:pt idx="11">
                  <c:v>8.1081081081081072E-2</c:v>
                </c:pt>
                <c:pt idx="12">
                  <c:v>6.9767441860465101E-2</c:v>
                </c:pt>
                <c:pt idx="13">
                  <c:v>6.1224489795918366E-2</c:v>
                </c:pt>
                <c:pt idx="14">
                  <c:v>5.4545454545454543E-2</c:v>
                </c:pt>
                <c:pt idx="15">
                  <c:v>3.5294117647058823E-2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3-48E2-B8B8-76A77FC13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437743"/>
        <c:axId val="1305441583"/>
      </c:scatterChart>
      <c:valAx>
        <c:axId val="130543774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Prey density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41583"/>
        <c:crosses val="autoZero"/>
        <c:crossBetween val="midCat"/>
      </c:valAx>
      <c:valAx>
        <c:axId val="130544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Prop. prey captured (Va/V)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3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136525</xdr:colOff>
      <xdr:row>11</xdr:row>
      <xdr:rowOff>76200</xdr:rowOff>
    </xdr:from>
    <xdr:to>
      <xdr:col>10</xdr:col>
      <xdr:colOff>441325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A3937-9A41-E79E-790E-EEEE09DCD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11</xdr:row>
      <xdr:rowOff>69850</xdr:rowOff>
    </xdr:from>
    <xdr:to>
      <xdr:col>18</xdr:col>
      <xdr:colOff>361950</xdr:colOff>
      <xdr:row>26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9A8471-7AFF-41E0-95F1-FFEBDB5E5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A2B3-B80F-4C5F-8363-34A0088EA10E}">
  <dimension ref="A1:H26"/>
  <sheetViews>
    <sheetView tabSelected="1" topLeftCell="A3" workbookViewId="0">
      <selection activeCell="F7" sqref="F7"/>
    </sheetView>
  </sheetViews>
  <sheetFormatPr defaultRowHeight="14.5" x14ac:dyDescent="0.35"/>
  <cols>
    <col min="1" max="2" width="8.7265625" style="1"/>
    <col min="3" max="3" width="9.36328125" style="1" bestFit="1" customWidth="1"/>
    <col min="4" max="16384" width="8.7265625" style="1"/>
  </cols>
  <sheetData>
    <row r="1" spans="1:8" x14ac:dyDescent="0.35">
      <c r="A1" s="1" t="s">
        <v>0</v>
      </c>
      <c r="B1" s="1" t="s">
        <v>1</v>
      </c>
      <c r="C1" s="1" t="s">
        <v>14</v>
      </c>
      <c r="E1" s="1" t="s">
        <v>3</v>
      </c>
      <c r="F1" s="2">
        <v>0.2</v>
      </c>
    </row>
    <row r="2" spans="1:8" x14ac:dyDescent="0.35">
      <c r="A2" s="1">
        <v>0</v>
      </c>
      <c r="B2" s="3">
        <f>($F$9*(A2^$F$7)*$F$4)/(1+$F$9*$F$10*(A2^$F$7))</f>
        <v>0</v>
      </c>
      <c r="C2" s="4" t="s">
        <v>12</v>
      </c>
      <c r="E2" s="1" t="s">
        <v>4</v>
      </c>
      <c r="F2" s="2">
        <v>0.3</v>
      </c>
      <c r="H2" s="1" t="s">
        <v>10</v>
      </c>
    </row>
    <row r="3" spans="1:8" x14ac:dyDescent="0.35">
      <c r="A3" s="1">
        <v>1</v>
      </c>
      <c r="B3" s="3">
        <f t="shared" ref="B3:B11" si="0">($F$9*(A3^$F$7)*$F$4)/(1+$F$9*$F$10*(A3^$F$7))</f>
        <v>0.1171875</v>
      </c>
      <c r="C3" s="4">
        <f t="shared" ref="C3:C11" si="1">B3/A3</f>
        <v>0.1171875</v>
      </c>
      <c r="E3" s="1" t="s">
        <v>5</v>
      </c>
      <c r="F3" s="2">
        <v>1</v>
      </c>
    </row>
    <row r="4" spans="1:8" x14ac:dyDescent="0.35">
      <c r="A4" s="1">
        <v>2</v>
      </c>
      <c r="B4" s="3">
        <f t="shared" si="0"/>
        <v>0.22900763358778625</v>
      </c>
      <c r="C4" s="4">
        <f t="shared" si="1"/>
        <v>0.11450381679389313</v>
      </c>
      <c r="E4" s="1" t="s">
        <v>6</v>
      </c>
      <c r="F4" s="2">
        <v>1</v>
      </c>
    </row>
    <row r="5" spans="1:8" x14ac:dyDescent="0.35">
      <c r="A5" s="1">
        <v>3</v>
      </c>
      <c r="B5" s="3">
        <f t="shared" si="0"/>
        <v>0.33582089552238803</v>
      </c>
      <c r="C5" s="4">
        <f t="shared" si="1"/>
        <v>0.11194029850746268</v>
      </c>
      <c r="E5" s="1" t="s">
        <v>7</v>
      </c>
      <c r="F5" s="2">
        <v>0.1</v>
      </c>
    </row>
    <row r="6" spans="1:8" x14ac:dyDescent="0.35">
      <c r="A6" s="1">
        <v>4</v>
      </c>
      <c r="B6" s="3">
        <f t="shared" si="0"/>
        <v>0.43795620437956201</v>
      </c>
      <c r="C6" s="4">
        <f t="shared" si="1"/>
        <v>0.1094890510948905</v>
      </c>
      <c r="E6" s="1" t="s">
        <v>8</v>
      </c>
      <c r="F6" s="2">
        <v>0.1</v>
      </c>
    </row>
    <row r="7" spans="1:8" x14ac:dyDescent="0.35">
      <c r="A7" s="1">
        <v>5</v>
      </c>
      <c r="B7" s="3">
        <f t="shared" si="0"/>
        <v>0.5357142857142857</v>
      </c>
      <c r="C7" s="4">
        <f t="shared" si="1"/>
        <v>0.10714285714285714</v>
      </c>
      <c r="E7" s="1" t="s">
        <v>11</v>
      </c>
      <c r="F7" s="2">
        <v>1</v>
      </c>
      <c r="G7" s="1" t="s">
        <v>17</v>
      </c>
    </row>
    <row r="8" spans="1:8" x14ac:dyDescent="0.35">
      <c r="A8" s="1">
        <v>6</v>
      </c>
      <c r="B8" s="3">
        <f t="shared" si="0"/>
        <v>0.62937062937062926</v>
      </c>
      <c r="C8" s="4">
        <f t="shared" si="1"/>
        <v>0.10489510489510488</v>
      </c>
    </row>
    <row r="9" spans="1:8" x14ac:dyDescent="0.35">
      <c r="A9" s="1">
        <v>7</v>
      </c>
      <c r="B9" s="3">
        <f t="shared" si="0"/>
        <v>0.71917808219178081</v>
      </c>
      <c r="C9" s="4">
        <f t="shared" si="1"/>
        <v>0.10273972602739725</v>
      </c>
      <c r="E9" s="1" t="s">
        <v>2</v>
      </c>
      <c r="F9" s="1">
        <f>F1*2*F2*F3</f>
        <v>0.12</v>
      </c>
      <c r="G9" s="1" t="s">
        <v>13</v>
      </c>
    </row>
    <row r="10" spans="1:8" x14ac:dyDescent="0.35">
      <c r="A10" s="1">
        <v>8</v>
      </c>
      <c r="B10" s="3">
        <f t="shared" si="0"/>
        <v>0.80536912751677858</v>
      </c>
      <c r="C10" s="4">
        <f t="shared" si="1"/>
        <v>0.10067114093959732</v>
      </c>
      <c r="E10" s="1" t="s">
        <v>9</v>
      </c>
      <c r="F10" s="1">
        <f>F5+F6</f>
        <v>0.2</v>
      </c>
      <c r="G10" s="1" t="s">
        <v>13</v>
      </c>
    </row>
    <row r="11" spans="1:8" x14ac:dyDescent="0.35">
      <c r="A11" s="1">
        <v>9</v>
      </c>
      <c r="B11" s="3">
        <f t="shared" si="0"/>
        <v>0.88815789473684215</v>
      </c>
      <c r="C11" s="4">
        <f t="shared" si="1"/>
        <v>9.8684210526315791E-2</v>
      </c>
      <c r="E11" s="1" t="s">
        <v>15</v>
      </c>
      <c r="F11" s="1">
        <f>1/F10</f>
        <v>5</v>
      </c>
      <c r="G11" s="1" t="s">
        <v>16</v>
      </c>
    </row>
    <row r="12" spans="1:8" x14ac:dyDescent="0.35">
      <c r="A12" s="1">
        <v>10</v>
      </c>
      <c r="B12" s="3">
        <f t="shared" ref="B12:B17" si="2">($F$9*(A12^$F$7)*$F$4)/(1+$F$9*$F$10*(A12^$F$7))</f>
        <v>0.96774193548387089</v>
      </c>
      <c r="C12" s="4">
        <f t="shared" ref="C12:C17" si="3">B12/A12</f>
        <v>9.6774193548387094E-2</v>
      </c>
    </row>
    <row r="13" spans="1:8" x14ac:dyDescent="0.35">
      <c r="A13" s="1">
        <v>20</v>
      </c>
      <c r="B13" s="3">
        <f t="shared" si="2"/>
        <v>1.6216216216216215</v>
      </c>
      <c r="C13" s="4">
        <f t="shared" si="3"/>
        <v>8.1081081081081072E-2</v>
      </c>
    </row>
    <row r="14" spans="1:8" x14ac:dyDescent="0.35">
      <c r="A14" s="1">
        <v>30</v>
      </c>
      <c r="B14" s="3">
        <f t="shared" si="2"/>
        <v>2.0930232558139532</v>
      </c>
      <c r="C14" s="4">
        <f t="shared" si="3"/>
        <v>6.9767441860465101E-2</v>
      </c>
    </row>
    <row r="15" spans="1:8" x14ac:dyDescent="0.35">
      <c r="A15" s="1">
        <v>40</v>
      </c>
      <c r="B15" s="3">
        <f t="shared" si="2"/>
        <v>2.4489795918367347</v>
      </c>
      <c r="C15" s="4">
        <f t="shared" si="3"/>
        <v>6.1224489795918366E-2</v>
      </c>
    </row>
    <row r="16" spans="1:8" x14ac:dyDescent="0.35">
      <c r="A16" s="1">
        <v>50</v>
      </c>
      <c r="B16" s="3">
        <f t="shared" si="2"/>
        <v>2.7272727272727271</v>
      </c>
      <c r="C16" s="4">
        <f t="shared" si="3"/>
        <v>5.4545454545454543E-2</v>
      </c>
    </row>
    <row r="17" spans="1:3" x14ac:dyDescent="0.35">
      <c r="A17" s="1">
        <v>100</v>
      </c>
      <c r="B17" s="3">
        <f t="shared" si="2"/>
        <v>3.5294117647058822</v>
      </c>
      <c r="C17" s="4">
        <f t="shared" si="3"/>
        <v>3.5294117647058823E-2</v>
      </c>
    </row>
    <row r="18" spans="1:3" x14ac:dyDescent="0.35">
      <c r="B18" s="3"/>
      <c r="C18" s="4"/>
    </row>
    <row r="19" spans="1:3" x14ac:dyDescent="0.35">
      <c r="B19" s="3"/>
      <c r="C19" s="4"/>
    </row>
    <row r="20" spans="1:3" x14ac:dyDescent="0.35">
      <c r="B20" s="3"/>
      <c r="C20" s="4"/>
    </row>
    <row r="21" spans="1:3" x14ac:dyDescent="0.35">
      <c r="B21" s="3"/>
      <c r="C21" s="4"/>
    </row>
    <row r="22" spans="1:3" x14ac:dyDescent="0.35">
      <c r="B22" s="3"/>
      <c r="C22" s="4"/>
    </row>
    <row r="23" spans="1:3" x14ac:dyDescent="0.35">
      <c r="B23" s="3"/>
      <c r="C23" s="4"/>
    </row>
    <row r="24" spans="1:3" x14ac:dyDescent="0.35">
      <c r="B24" s="3"/>
      <c r="C24" s="4"/>
    </row>
    <row r="25" spans="1:3" x14ac:dyDescent="0.35">
      <c r="B25" s="3"/>
      <c r="C25" s="4"/>
    </row>
    <row r="26" spans="1:3" x14ac:dyDescent="0.35">
      <c r="B26" s="3"/>
      <c r="C2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Germain</dc:creator>
  <cp:lastModifiedBy>Ching Zhang</cp:lastModifiedBy>
  <dcterms:created xsi:type="dcterms:W3CDTF">2024-10-14T18:02:50Z</dcterms:created>
  <dcterms:modified xsi:type="dcterms:W3CDTF">2025-10-14T21:53:33Z</dcterms:modified>
</cp:coreProperties>
</file>